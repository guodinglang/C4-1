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<sst xmlns="http://schemas.openxmlformats.org/spreadsheetml/2006/main" count="11" uniqueCount="9">
  <si>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X+</t>
  </si>
  <si>
    <t>X-</t>
  </si>
  <si>
    <t>Y+</t>
  </si>
  <si>
    <t>Y-</t>
  </si>
  <si>
    <t>设定电压值</t>
  </si>
  <si>
    <t>DAC步数</t>
  </si>
  <si>
    <t>半步误差</t>
  </si>
  <si>
    <t>误差值V</t>
  </si>
  <si>
    <t>误差值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</si>
</sst>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8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  <xf numFmtId="176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J135"/>
  <sheetViews>
    <sheetView tabSelected="1" topLeftCell="X1" workbookViewId="0">
      <selection activeCell="AI7" sqref="AI7"/>
    </sheetView>
  </sheetViews>
  <sheetFormatPr defaultColWidth="9" defaultRowHeight="13.5"/>
  <cols>
    <col min="2" max="2" width="12.625"/>
    <col min="4" max="4" width="12.625"/>
    <col min="8" max="8" width="13.875" customWidth="1"/>
    <col min="9" max="9" width="8.75" style="1" customWidth="1"/>
    <col min="26" max="26" width="9.875" style="2" customWidth="1"/>
    <col min="27" max="27" width="9.625" style="1" customWidth="1"/>
    <col min="28" max="28" width="8.5" style="1" customWidth="1"/>
    <col min="29" max="29" width="7.875" style="1" customWidth="1"/>
    <col min="31" max="31" width="12.625"/>
    <col min="32" max="32" width="7.975" style="2" customWidth="1"/>
    <col min="33" max="33" width="9" style="2"/>
    <col min="36" max="36" width="12.625"/>
  </cols>
  <sheetData>
    <row r="2" spans="1:36">
      <c r="J2" t="s">
        <v>0</v>
      </c>
      <c r="K2" t="s">
        <v>1</v>
      </c>
      <c r="L2" t="s">
        <v>2</v>
      </c>
      <c r="M2" t="s">
        <v>3</v>
      </c>
      <c r="Z2" s="2" t="s">
        <v>4</v>
      </c>
      <c r="AA2" s="3" t="s">
        <v>5</v>
      </c>
      <c r="AB2" s="3" t="s">
        <v>6</v>
      </c>
      <c r="AC2" s="3" t="s">
        <v>7</v>
      </c>
      <c r="AE2" s="2" t="s">
        <v>4</v>
      </c>
      <c r="AF2" s="3" t="s">
        <v>5</v>
      </c>
      <c r="AG2" s="2" t="s">
        <v>8</v>
      </c>
    </row>
    <row r="3" spans="1:36">
      <c r="A3">
        <v>1</v>
      </c>
      <c r="B3">
        <v>68.2666666</v>
      </c>
      <c r="C3">
        <v>68</v>
      </c>
      <c r="D3">
        <v>0.99609375</v>
      </c>
      <c r="E3">
        <v>0.996</v>
      </c>
      <c r="G3" s="4">
        <v>69</v>
      </c>
      <c r="H3" s="4">
        <v>1.010742188</v>
      </c>
      <c r="I3" s="5">
        <v>1.010742188</v>
      </c>
      <c r="J3">
        <v>1.012</v>
      </c>
      <c r="K3">
        <v>1.012</v>
      </c>
      <c r="P3">
        <f>Q3-R3</f>
        <v>-0.00800000000000001</v>
      </c>
      <c r="Q3">
        <v>1.012</v>
      </c>
      <c r="R3" s="6">
        <v>1.02</v>
      </c>
      <c r="S3">
        <v>1.027</v>
      </c>
      <c r="T3">
        <f>S3-R3</f>
        <v>0.0069999999999999</v>
      </c>
      <c r="Z3" s="2">
        <v>1</v>
      </c>
      <c r="AA3" s="1">
        <f>Z3*4096/60</f>
        <v>68.2666666666667</v>
      </c>
      <c r="AB3" s="1">
        <v>0.26666667</v>
      </c>
      <c r="AC3" s="1">
        <f>AB3*60/4096</f>
        <v>0.00390625004882812</v>
      </c>
      <c r="AE3" s="4">
        <f>69*60/4096</f>
        <v>1.0107421875</v>
      </c>
      <c r="AF3" s="7">
        <f>AE3*4096/60</f>
        <v>69</v>
      </c>
      <c r="AG3" s="2">
        <v>0</v>
      </c>
    </row>
    <row r="4" spans="1:36">
      <c r="A4">
        <v>2</v>
      </c>
      <c r="B4">
        <v>136.5333333</v>
      </c>
      <c r="C4">
        <v>136</v>
      </c>
      <c r="D4">
        <v>1.9921875</v>
      </c>
      <c r="E4">
        <v>1.992</v>
      </c>
      <c r="G4" s="4">
        <v>137</v>
      </c>
      <c r="H4" s="4">
        <v>2.006835938</v>
      </c>
      <c r="I4" s="5">
        <v>2.006835938</v>
      </c>
      <c r="J4">
        <v>2.01</v>
      </c>
      <c r="K4">
        <v>2.01</v>
      </c>
      <c r="P4">
        <f t="shared" ref="P4:P35" si="0">Q4-R4</f>
        <v>0.00600000000000001</v>
      </c>
      <c r="Q4">
        <v>1.056</v>
      </c>
      <c r="R4" s="6">
        <v>1.05</v>
      </c>
      <c r="S4">
        <v>1.056</v>
      </c>
      <c r="T4">
        <f t="shared" ref="T4:T14" si="1">S4-R4</f>
        <v>0.00600000000000001</v>
      </c>
      <c r="Z4" s="2">
        <v>2</v>
      </c>
      <c r="AA4" s="1">
        <f t="shared" ref="AA4:AA35" si="2">Z4*4096/60</f>
        <v>136.533333333333</v>
      </c>
      <c r="AB4" s="1">
        <v>0.466666666</v>
      </c>
      <c r="AC4" s="1">
        <f t="shared" ref="AC4:AC35" si="3">AB4*60/4096</f>
        <v>0.00683593749023438</v>
      </c>
      <c r="AE4" s="4">
        <v>2.006835938</v>
      </c>
      <c r="AF4" s="7">
        <f t="shared" ref="AF4:AF20" si="4">AE4*4096/60</f>
        <v>137.000000034133</v>
      </c>
      <c r="AG4" s="2">
        <v>0</v>
      </c>
    </row>
    <row r="5" spans="1:36">
      <c r="A5">
        <v>3</v>
      </c>
      <c r="B5">
        <v>204.8</v>
      </c>
      <c r="C5">
        <v>204</v>
      </c>
      <c r="D5">
        <v>2.98828125</v>
      </c>
      <c r="E5">
        <v>2.988</v>
      </c>
      <c r="G5" s="4">
        <v>205</v>
      </c>
      <c r="H5" s="4">
        <v>3.002929688</v>
      </c>
      <c r="I5" s="5">
        <v>3.002929688</v>
      </c>
      <c r="J5">
        <v>3.004</v>
      </c>
      <c r="K5">
        <v>3.004</v>
      </c>
      <c r="P5">
        <f t="shared" si="0"/>
        <v>0.00499999999999989</v>
      </c>
      <c r="Q5">
        <v>1.085</v>
      </c>
      <c r="R5" s="6">
        <v>1.08</v>
      </c>
      <c r="S5">
        <v>1.1</v>
      </c>
      <c r="T5">
        <f t="shared" si="1"/>
        <v>0.02</v>
      </c>
      <c r="Z5" s="2">
        <v>3</v>
      </c>
      <c r="AA5" s="1">
        <f t="shared" si="2"/>
        <v>204.8</v>
      </c>
      <c r="AB5" s="1">
        <v>0.2</v>
      </c>
      <c r="AC5" s="1">
        <f t="shared" si="3"/>
        <v>0.0029296875</v>
      </c>
      <c r="AE5" s="4">
        <v>3.002929688</v>
      </c>
      <c r="AF5" s="7">
        <f t="shared" si="4"/>
        <v>205.000000034133</v>
      </c>
      <c r="AG5" s="2">
        <v>0</v>
      </c>
      <c r="AJ5">
        <v>1.0107421875</v>
      </c>
    </row>
    <row r="6" spans="1:36">
      <c r="A6">
        <v>4</v>
      </c>
      <c r="B6">
        <v>273.06666666</v>
      </c>
      <c r="C6">
        <v>273</v>
      </c>
      <c r="D6">
        <v>3.9990234375</v>
      </c>
      <c r="E6">
        <v>3.999</v>
      </c>
      <c r="G6" s="4">
        <v>274</v>
      </c>
      <c r="H6" s="4">
        <v>4.013671875</v>
      </c>
      <c r="I6" s="5">
        <v>4.013671875</v>
      </c>
      <c r="J6">
        <v>4.016</v>
      </c>
      <c r="K6">
        <v>4.016</v>
      </c>
      <c r="P6">
        <f t="shared" si="0"/>
        <v>0.004</v>
      </c>
      <c r="Q6">
        <v>1.114</v>
      </c>
      <c r="R6" s="6">
        <v>1.11</v>
      </c>
      <c r="S6">
        <v>1.129</v>
      </c>
      <c r="T6">
        <f t="shared" si="1"/>
        <v>0.0189999999999999</v>
      </c>
      <c r="Z6" s="2">
        <v>4</v>
      </c>
      <c r="AA6" s="1">
        <f t="shared" si="2"/>
        <v>273.066666666667</v>
      </c>
      <c r="AB6" s="1">
        <v>0.066666666666</v>
      </c>
      <c r="AC6" s="1">
        <f t="shared" si="3"/>
        <v>0.000976562499990234</v>
      </c>
      <c r="AE6" s="4">
        <v>4.013671875</v>
      </c>
      <c r="AF6" s="7">
        <f t="shared" si="4"/>
        <v>274</v>
      </c>
      <c r="AG6" s="2">
        <v>0</v>
      </c>
    </row>
    <row r="7" spans="1:36">
      <c r="A7">
        <v>5</v>
      </c>
      <c r="B7">
        <v>341.3333333</v>
      </c>
      <c r="C7">
        <v>341</v>
      </c>
      <c r="D7">
        <v>4.9951171875</v>
      </c>
      <c r="E7">
        <v>4.995</v>
      </c>
      <c r="G7" s="4">
        <v>342</v>
      </c>
      <c r="H7" s="4">
        <v>5.009765625</v>
      </c>
      <c r="I7" s="5">
        <v>5.009765625</v>
      </c>
      <c r="J7">
        <v>5.007</v>
      </c>
      <c r="K7">
        <v>5.007</v>
      </c>
      <c r="P7">
        <f t="shared" si="0"/>
        <v>0.00300000000000011</v>
      </c>
      <c r="Q7">
        <v>1.143</v>
      </c>
      <c r="R7" s="6">
        <v>1.14</v>
      </c>
      <c r="S7">
        <v>1.158</v>
      </c>
      <c r="T7">
        <f t="shared" si="1"/>
        <v>0.018</v>
      </c>
      <c r="Z7" s="2">
        <v>5</v>
      </c>
      <c r="AA7" s="1">
        <f t="shared" si="2"/>
        <v>341.333333333333</v>
      </c>
      <c r="AB7" s="1">
        <v>0.3333333333</v>
      </c>
      <c r="AC7" s="1">
        <f t="shared" si="3"/>
        <v>0.00488281249951172</v>
      </c>
      <c r="AE7" s="4">
        <v>5.009765625</v>
      </c>
      <c r="AF7" s="7">
        <f t="shared" si="4"/>
        <v>342</v>
      </c>
      <c r="AG7" s="2">
        <v>0</v>
      </c>
    </row>
    <row r="8" spans="1:36">
      <c r="A8">
        <v>6</v>
      </c>
      <c r="G8" s="4">
        <v>410</v>
      </c>
      <c r="H8" s="4">
        <v>6.005859375</v>
      </c>
      <c r="I8" s="5">
        <v>6.005859375</v>
      </c>
      <c r="J8">
        <v>6.004</v>
      </c>
      <c r="K8">
        <v>6.004</v>
      </c>
      <c r="P8">
        <f t="shared" si="0"/>
        <v>0.002</v>
      </c>
      <c r="Q8">
        <v>1.172</v>
      </c>
      <c r="R8" s="6">
        <v>1.17</v>
      </c>
      <c r="S8">
        <v>1.187</v>
      </c>
      <c r="T8">
        <f t="shared" si="1"/>
        <v>0.0170000000000001</v>
      </c>
      <c r="Z8" s="2">
        <v>6</v>
      </c>
      <c r="AA8" s="1">
        <f t="shared" si="2"/>
        <v>409.6</v>
      </c>
      <c r="AB8" s="1">
        <v>0.1</v>
      </c>
      <c r="AC8" s="1">
        <f t="shared" si="3"/>
        <v>0.00146484375</v>
      </c>
      <c r="AE8" s="4">
        <v>6.005859375</v>
      </c>
      <c r="AF8" s="7">
        <f t="shared" si="4"/>
        <v>410</v>
      </c>
      <c r="AG8" s="2">
        <v>0</v>
      </c>
    </row>
    <row r="9" spans="1:36">
      <c r="A9">
        <v>7</v>
      </c>
      <c r="G9" s="4">
        <v>478</v>
      </c>
      <c r="H9" s="4">
        <v>7.001953125</v>
      </c>
      <c r="I9" s="5">
        <v>7.001953125</v>
      </c>
      <c r="J9" s="4">
        <v>6.99</v>
      </c>
      <c r="K9" s="4">
        <v>6.99</v>
      </c>
      <c r="P9">
        <f t="shared" si="0"/>
        <v>0.002</v>
      </c>
      <c r="Q9">
        <v>1.202</v>
      </c>
      <c r="R9" s="6">
        <v>1.2</v>
      </c>
      <c r="S9">
        <v>1.216</v>
      </c>
      <c r="T9">
        <f t="shared" si="1"/>
        <v>0.016</v>
      </c>
      <c r="Z9" s="2">
        <v>7</v>
      </c>
      <c r="AA9" s="1">
        <f t="shared" si="2"/>
        <v>477.866666666667</v>
      </c>
      <c r="AB9" s="1">
        <v>0.1333333</v>
      </c>
      <c r="AC9" s="1">
        <f t="shared" si="3"/>
        <v>0.00195312451171875</v>
      </c>
      <c r="AE9" s="4">
        <v>7.001953125</v>
      </c>
      <c r="AF9" s="7">
        <f t="shared" si="4"/>
        <v>478</v>
      </c>
      <c r="AG9" s="2">
        <v>0</v>
      </c>
    </row>
    <row r="10" spans="1:36">
      <c r="A10">
        <v>8</v>
      </c>
      <c r="G10" s="4">
        <v>547</v>
      </c>
      <c r="H10" s="4">
        <v>8.012695313</v>
      </c>
      <c r="I10" s="5">
        <v>8.012695313</v>
      </c>
      <c r="J10" s="4">
        <v>8</v>
      </c>
      <c r="K10" s="4">
        <v>8</v>
      </c>
      <c r="P10">
        <f t="shared" si="0"/>
        <v>0.00100000000000011</v>
      </c>
      <c r="Q10">
        <v>1.231</v>
      </c>
      <c r="R10" s="6">
        <v>1.23</v>
      </c>
      <c r="S10">
        <v>1.246</v>
      </c>
      <c r="T10">
        <f t="shared" si="1"/>
        <v>0.016</v>
      </c>
      <c r="Z10" s="2">
        <v>8</v>
      </c>
      <c r="AA10" s="1">
        <f t="shared" si="2"/>
        <v>546.133333333333</v>
      </c>
      <c r="AB10" s="1">
        <v>0.133333333</v>
      </c>
      <c r="AC10" s="1">
        <f t="shared" si="3"/>
        <v>0.00195312499511719</v>
      </c>
      <c r="AE10" s="4">
        <v>8.012695313</v>
      </c>
      <c r="AF10" s="7">
        <f t="shared" si="4"/>
        <v>547.000000034133</v>
      </c>
      <c r="AG10" s="2">
        <v>0</v>
      </c>
    </row>
    <row r="11" spans="1:36">
      <c r="A11">
        <v>9</v>
      </c>
      <c r="G11" s="4">
        <v>615</v>
      </c>
      <c r="H11" s="4">
        <v>9.008789063</v>
      </c>
      <c r="I11" s="5">
        <v>9.008789063</v>
      </c>
      <c r="J11" s="4">
        <v>8.99</v>
      </c>
      <c r="K11" s="4">
        <v>8.99</v>
      </c>
      <c r="P11">
        <f t="shared" si="0"/>
        <v>0</v>
      </c>
      <c r="Q11" s="1">
        <v>1.26</v>
      </c>
      <c r="R11" s="6">
        <v>1.26</v>
      </c>
      <c r="S11">
        <v>1.275</v>
      </c>
      <c r="T11">
        <f t="shared" si="1"/>
        <v>0.0149999999999999</v>
      </c>
      <c r="Z11" s="2">
        <v>9</v>
      </c>
      <c r="AA11" s="1">
        <f t="shared" si="2"/>
        <v>614.4</v>
      </c>
      <c r="AB11" s="1">
        <v>0.4</v>
      </c>
      <c r="AC11" s="1">
        <f t="shared" si="3"/>
        <v>0.005859375</v>
      </c>
      <c r="AE11" s="4">
        <v>9.008789063</v>
      </c>
      <c r="AF11" s="7">
        <f t="shared" si="4"/>
        <v>615.000000034133</v>
      </c>
      <c r="AG11" s="2">
        <v>0</v>
      </c>
    </row>
    <row r="12" spans="1:36">
      <c r="A12">
        <v>10</v>
      </c>
      <c r="G12" s="4">
        <v>683</v>
      </c>
      <c r="H12" s="4">
        <v>10.004882813</v>
      </c>
      <c r="I12" s="5">
        <v>10.004882813</v>
      </c>
      <c r="J12">
        <v>9.99</v>
      </c>
      <c r="K12">
        <v>9.99</v>
      </c>
      <c r="P12">
        <f t="shared" si="0"/>
        <v>-0.00100000000000011</v>
      </c>
      <c r="Q12">
        <v>1.289</v>
      </c>
      <c r="R12" s="6">
        <v>1.29</v>
      </c>
      <c r="S12">
        <v>1.304</v>
      </c>
      <c r="T12">
        <f t="shared" si="1"/>
        <v>0.014</v>
      </c>
      <c r="Z12" s="2">
        <v>10</v>
      </c>
      <c r="AA12" s="1">
        <f t="shared" si="2"/>
        <v>682.666666666667</v>
      </c>
      <c r="AB12" s="1">
        <v>0.333333333</v>
      </c>
      <c r="AC12" s="1">
        <f t="shared" si="3"/>
        <v>0.00488281249511719</v>
      </c>
      <c r="AE12" s="4">
        <v>10.004882813</v>
      </c>
      <c r="AF12" s="7">
        <f t="shared" si="4"/>
        <v>683.000000034133</v>
      </c>
      <c r="AG12" s="2">
        <v>0</v>
      </c>
    </row>
    <row r="13" spans="1:36">
      <c r="A13">
        <v>11</v>
      </c>
      <c r="G13" s="4">
        <v>751</v>
      </c>
      <c r="H13" s="4">
        <v>11.000976563</v>
      </c>
      <c r="I13" s="5">
        <v>11.000976563</v>
      </c>
      <c r="J13">
        <v>10.98</v>
      </c>
      <c r="K13">
        <v>10.98</v>
      </c>
      <c r="P13">
        <f t="shared" si="0"/>
        <v>-0.002</v>
      </c>
      <c r="Q13">
        <v>1.318</v>
      </c>
      <c r="R13" s="6">
        <v>1.32</v>
      </c>
      <c r="S13">
        <v>1.333</v>
      </c>
      <c r="T13">
        <f t="shared" si="1"/>
        <v>0.0129999999999999</v>
      </c>
      <c r="Z13" s="2">
        <v>11</v>
      </c>
      <c r="AA13" s="1">
        <f t="shared" si="2"/>
        <v>750.933333333333</v>
      </c>
      <c r="AB13" s="1">
        <v>0.06666666666</v>
      </c>
      <c r="AC13" s="1">
        <f t="shared" si="3"/>
        <v>0.000976562499902344</v>
      </c>
      <c r="AE13" s="4">
        <v>11.000976563</v>
      </c>
      <c r="AF13" s="7">
        <f t="shared" si="4"/>
        <v>751.000000034133</v>
      </c>
      <c r="AG13" s="2">
        <v>0</v>
      </c>
    </row>
    <row r="14" spans="1:36">
      <c r="A14">
        <v>12</v>
      </c>
      <c r="G14" s="4">
        <v>820</v>
      </c>
      <c r="H14" s="4">
        <v>12.01171875</v>
      </c>
      <c r="I14" s="5">
        <v>12.01171875</v>
      </c>
      <c r="J14">
        <v>12</v>
      </c>
      <c r="K14">
        <v>12</v>
      </c>
      <c r="P14">
        <f t="shared" si="0"/>
        <v>-0.00300000000000011</v>
      </c>
      <c r="Q14">
        <v>1.347</v>
      </c>
      <c r="R14" s="6">
        <v>1.35</v>
      </c>
      <c r="S14">
        <v>1.362</v>
      </c>
      <c r="T14">
        <f t="shared" si="1"/>
        <v>0.012</v>
      </c>
      <c r="Z14" s="2">
        <v>12</v>
      </c>
      <c r="AA14" s="1">
        <f t="shared" si="2"/>
        <v>819.2</v>
      </c>
      <c r="AB14" s="1">
        <v>0.2</v>
      </c>
      <c r="AC14" s="1">
        <f t="shared" si="3"/>
        <v>0.0029296875</v>
      </c>
      <c r="AE14" s="4">
        <v>12.01171875</v>
      </c>
      <c r="AF14" s="7">
        <f t="shared" si="4"/>
        <v>820</v>
      </c>
      <c r="AG14" s="2">
        <v>0</v>
      </c>
    </row>
    <row r="15" spans="1:36">
      <c r="A15">
        <v>13</v>
      </c>
      <c r="G15" s="4">
        <v>888</v>
      </c>
      <c r="H15" s="4">
        <v>13.0078125</v>
      </c>
      <c r="I15" s="5">
        <v>13.0078125</v>
      </c>
      <c r="J15">
        <v>12.99</v>
      </c>
      <c r="K15">
        <v>12.99</v>
      </c>
      <c r="P15">
        <f t="shared" si="0"/>
        <v>-0.00299999999999989</v>
      </c>
      <c r="Q15">
        <v>1.377</v>
      </c>
      <c r="R15" s="6">
        <v>1.38</v>
      </c>
      <c r="S15">
        <v>1.391</v>
      </c>
      <c r="T15">
        <f t="shared" ref="T15:T43" si="5">S15-R15</f>
        <v>0.0110000000000001</v>
      </c>
      <c r="Z15" s="2">
        <v>13</v>
      </c>
      <c r="AA15" s="1">
        <f t="shared" si="2"/>
        <v>887.466666666667</v>
      </c>
      <c r="AB15" s="1">
        <v>0.466666666</v>
      </c>
      <c r="AC15" s="1">
        <f t="shared" si="3"/>
        <v>0.00683593749023438</v>
      </c>
      <c r="AE15" s="4">
        <v>13.0078125</v>
      </c>
      <c r="AF15" s="7">
        <f t="shared" si="4"/>
        <v>888</v>
      </c>
      <c r="AG15" s="2">
        <v>0</v>
      </c>
    </row>
    <row r="16" spans="1:36">
      <c r="A16">
        <v>14</v>
      </c>
      <c r="G16" s="4">
        <v>956</v>
      </c>
      <c r="H16" s="4">
        <v>14.00390625</v>
      </c>
      <c r="I16" s="5">
        <v>14.00390625</v>
      </c>
      <c r="J16">
        <v>13.99</v>
      </c>
      <c r="K16">
        <v>13.99</v>
      </c>
      <c r="P16">
        <f t="shared" si="0"/>
        <v>-0.004</v>
      </c>
      <c r="Q16">
        <v>1.406</v>
      </c>
      <c r="R16" s="6">
        <v>1.41</v>
      </c>
      <c r="S16">
        <v>1.421</v>
      </c>
      <c r="T16">
        <f t="shared" si="5"/>
        <v>0.0110000000000001</v>
      </c>
      <c r="Z16" s="2">
        <v>14</v>
      </c>
      <c r="AA16" s="1">
        <f t="shared" si="2"/>
        <v>955.733333333333</v>
      </c>
      <c r="AB16" s="1">
        <v>0.2666666666</v>
      </c>
      <c r="AC16" s="1">
        <f t="shared" si="3"/>
        <v>0.00390624999902344</v>
      </c>
      <c r="AE16" s="4">
        <v>14.00390625</v>
      </c>
      <c r="AF16" s="7">
        <f t="shared" si="4"/>
        <v>956</v>
      </c>
      <c r="AG16" s="2">
        <v>0</v>
      </c>
    </row>
    <row r="17" spans="1:33">
      <c r="A17">
        <v>15</v>
      </c>
      <c r="G17" s="4">
        <v>1024</v>
      </c>
      <c r="H17" s="4">
        <v>15</v>
      </c>
      <c r="I17" s="5">
        <v>15</v>
      </c>
      <c r="J17">
        <v>15</v>
      </c>
      <c r="K17">
        <v>15</v>
      </c>
      <c r="P17">
        <f t="shared" si="0"/>
        <v>-0.00499999999999989</v>
      </c>
      <c r="Q17">
        <v>1.435</v>
      </c>
      <c r="R17" s="6">
        <v>1.44</v>
      </c>
      <c r="S17" s="1">
        <v>1.45</v>
      </c>
      <c r="T17">
        <f t="shared" si="5"/>
        <v>0.01</v>
      </c>
      <c r="Z17" s="2">
        <v>15</v>
      </c>
      <c r="AA17" s="1">
        <f t="shared" si="2"/>
        <v>1024</v>
      </c>
      <c r="AB17" s="1">
        <v>0</v>
      </c>
      <c r="AC17" s="1">
        <f t="shared" si="3"/>
        <v>0</v>
      </c>
      <c r="AE17" s="4">
        <v>15</v>
      </c>
      <c r="AF17" s="7">
        <f t="shared" si="4"/>
        <v>1024</v>
      </c>
      <c r="AG17" s="2">
        <v>0</v>
      </c>
    </row>
    <row r="18" spans="1:33">
      <c r="A18">
        <v>16</v>
      </c>
      <c r="G18" s="4">
        <v>1093</v>
      </c>
      <c r="H18" s="4">
        <v>16.010742188</v>
      </c>
      <c r="I18" s="5">
        <v>16.010742188</v>
      </c>
      <c r="P18">
        <f t="shared" si="0"/>
        <v>-0.00499999999999989</v>
      </c>
      <c r="Q18">
        <v>1.465</v>
      </c>
      <c r="R18" s="6">
        <v>1.47</v>
      </c>
      <c r="S18" s="1">
        <v>1.48</v>
      </c>
      <c r="T18">
        <f t="shared" si="5"/>
        <v>0.01</v>
      </c>
      <c r="Z18" s="2">
        <v>16</v>
      </c>
      <c r="AA18" s="1">
        <f t="shared" si="2"/>
        <v>1092.26666666667</v>
      </c>
      <c r="AB18" s="1">
        <v>0.266666666666</v>
      </c>
      <c r="AC18" s="1">
        <f t="shared" si="3"/>
        <v>0.00390624999999023</v>
      </c>
      <c r="AE18" s="4">
        <v>16.010742188</v>
      </c>
      <c r="AF18" s="7">
        <f t="shared" si="4"/>
        <v>1093.00000003413</v>
      </c>
      <c r="AG18" s="2">
        <v>0</v>
      </c>
    </row>
    <row r="19" spans="1:33">
      <c r="A19">
        <v>17</v>
      </c>
      <c r="G19" s="4">
        <v>1161</v>
      </c>
      <c r="H19" s="4">
        <v>17.006835938</v>
      </c>
      <c r="I19" s="5">
        <v>17.006835938</v>
      </c>
      <c r="P19">
        <f t="shared" si="0"/>
        <v>-0.00600000000000001</v>
      </c>
      <c r="Q19">
        <v>1.494</v>
      </c>
      <c r="R19" s="6">
        <v>1.5</v>
      </c>
      <c r="S19">
        <v>1.509</v>
      </c>
      <c r="T19">
        <f t="shared" si="5"/>
        <v>0.0089999999999999</v>
      </c>
      <c r="Z19" s="2">
        <v>17</v>
      </c>
      <c r="AA19" s="1">
        <f t="shared" si="2"/>
        <v>1160.53333333333</v>
      </c>
      <c r="AB19" s="1">
        <v>0.466666666</v>
      </c>
      <c r="AC19" s="1">
        <f t="shared" si="3"/>
        <v>0.00683593749023438</v>
      </c>
      <c r="AE19" s="4">
        <v>17.006835938</v>
      </c>
      <c r="AF19" s="7">
        <f t="shared" si="4"/>
        <v>1161.00000003413</v>
      </c>
      <c r="AG19" s="2">
        <v>0</v>
      </c>
    </row>
    <row r="20" spans="1:33">
      <c r="A20">
        <v>18</v>
      </c>
      <c r="G20" s="4">
        <v>1229</v>
      </c>
      <c r="H20" s="4">
        <v>18.002929688</v>
      </c>
      <c r="I20" s="5">
        <v>18.002929688</v>
      </c>
      <c r="P20">
        <f t="shared" si="0"/>
        <v>-0.00600000000000001</v>
      </c>
      <c r="Q20">
        <v>1.524</v>
      </c>
      <c r="R20" s="6">
        <v>1.53</v>
      </c>
      <c r="S20">
        <v>1.539</v>
      </c>
      <c r="T20">
        <f t="shared" si="5"/>
        <v>0.0089999999999999</v>
      </c>
      <c r="Z20" s="2">
        <v>18</v>
      </c>
      <c r="AA20" s="1">
        <f t="shared" si="2"/>
        <v>1228.8</v>
      </c>
      <c r="AB20" s="1">
        <v>0.2</v>
      </c>
      <c r="AC20" s="1">
        <f t="shared" si="3"/>
        <v>0.0029296875</v>
      </c>
      <c r="AE20" s="4">
        <v>18.002929688</v>
      </c>
      <c r="AF20" s="7">
        <f t="shared" si="4"/>
        <v>1229.00000003413</v>
      </c>
      <c r="AG20" s="2">
        <v>0</v>
      </c>
    </row>
    <row r="21" spans="1:33">
      <c r="A21">
        <v>19</v>
      </c>
      <c r="G21" s="4">
        <v>1298</v>
      </c>
      <c r="H21" s="4">
        <v>19.013671875</v>
      </c>
      <c r="I21" s="5">
        <v>19.013671875</v>
      </c>
      <c r="P21">
        <f t="shared" si="0"/>
        <v>-0.00700000000000012</v>
      </c>
      <c r="Q21">
        <v>1.553</v>
      </c>
      <c r="R21" s="6">
        <v>1.56</v>
      </c>
      <c r="S21">
        <v>1.568</v>
      </c>
      <c r="T21">
        <f t="shared" si="5"/>
        <v>0.00800000000000001</v>
      </c>
      <c r="Z21" s="2">
        <v>19</v>
      </c>
      <c r="AA21" s="1">
        <f t="shared" si="2"/>
        <v>1297.06666666667</v>
      </c>
      <c r="AB21" s="1">
        <v>0.066666666666</v>
      </c>
      <c r="AC21" s="1">
        <f t="shared" si="3"/>
        <v>0.000976562499990234</v>
      </c>
      <c r="AE21" s="4">
        <v>19.013671875</v>
      </c>
      <c r="AF21" s="7">
        <f t="shared" ref="AF21:AF62" si="6">AE21*4096/60</f>
        <v>1298</v>
      </c>
      <c r="AG21" s="2">
        <v>0</v>
      </c>
    </row>
    <row r="22" spans="1:33">
      <c r="A22">
        <v>20</v>
      </c>
      <c r="G22" s="4">
        <v>1366</v>
      </c>
      <c r="H22" s="4">
        <v>20.009765625</v>
      </c>
      <c r="I22" s="5">
        <v>20.009765625</v>
      </c>
      <c r="P22">
        <f t="shared" si="0"/>
        <v>-0.00700000000000012</v>
      </c>
      <c r="Q22">
        <v>1.583</v>
      </c>
      <c r="R22" s="6">
        <v>1.59</v>
      </c>
      <c r="S22">
        <v>1.598</v>
      </c>
      <c r="T22">
        <f t="shared" si="5"/>
        <v>0.00800000000000001</v>
      </c>
      <c r="Z22" s="2">
        <v>20</v>
      </c>
      <c r="AA22" s="1">
        <f t="shared" si="2"/>
        <v>1365.33333333333</v>
      </c>
      <c r="AB22" s="1">
        <v>0.333333333</v>
      </c>
      <c r="AC22" s="1">
        <f t="shared" si="3"/>
        <v>0.00488281249511719</v>
      </c>
      <c r="AE22" s="4">
        <v>20.009765625</v>
      </c>
      <c r="AF22" s="7">
        <f t="shared" si="6"/>
        <v>1366</v>
      </c>
      <c r="AG22" s="2">
        <v>0</v>
      </c>
    </row>
    <row r="23" spans="1:33">
      <c r="A23">
        <v>21</v>
      </c>
      <c r="G23" s="4">
        <v>1434</v>
      </c>
      <c r="H23" s="4">
        <v>21.005859375</v>
      </c>
      <c r="I23" s="5">
        <v>21.005859375</v>
      </c>
      <c r="P23">
        <f t="shared" si="0"/>
        <v>-0.00800000000000001</v>
      </c>
      <c r="Q23">
        <v>1.612</v>
      </c>
      <c r="R23" s="6">
        <v>1.62</v>
      </c>
      <c r="S23">
        <v>1.627</v>
      </c>
      <c r="T23">
        <f t="shared" si="5"/>
        <v>0.0069999999999999</v>
      </c>
      <c r="Z23" s="2">
        <v>21</v>
      </c>
      <c r="AA23" s="1">
        <f t="shared" si="2"/>
        <v>1433.6</v>
      </c>
      <c r="AB23" s="1">
        <v>0.4</v>
      </c>
      <c r="AC23" s="1">
        <f t="shared" si="3"/>
        <v>0.005859375</v>
      </c>
      <c r="AE23" s="4">
        <v>21.005859375</v>
      </c>
      <c r="AF23" s="7">
        <f t="shared" si="6"/>
        <v>1434</v>
      </c>
      <c r="AG23" s="2">
        <v>0</v>
      </c>
    </row>
    <row r="24" spans="1:33">
      <c r="A24">
        <v>22</v>
      </c>
      <c r="G24" s="4">
        <v>1502</v>
      </c>
      <c r="H24" s="4">
        <v>22.001953125</v>
      </c>
      <c r="I24" s="5">
        <v>22.001953125</v>
      </c>
      <c r="P24">
        <f t="shared" si="0"/>
        <v>-0.00800000000000001</v>
      </c>
      <c r="Q24">
        <v>1.642</v>
      </c>
      <c r="R24" s="6">
        <v>1.65</v>
      </c>
      <c r="S24">
        <v>1.656</v>
      </c>
      <c r="T24">
        <f t="shared" si="5"/>
        <v>0.00600000000000001</v>
      </c>
      <c r="Z24" s="2">
        <v>22</v>
      </c>
      <c r="AA24" s="1">
        <f t="shared" si="2"/>
        <v>1501.86666666667</v>
      </c>
      <c r="AB24" s="1">
        <v>0.133333333</v>
      </c>
      <c r="AC24" s="1">
        <f t="shared" si="3"/>
        <v>0.00195312499511719</v>
      </c>
      <c r="AE24" s="4">
        <v>22.001953125</v>
      </c>
      <c r="AF24" s="7">
        <f t="shared" si="6"/>
        <v>1502</v>
      </c>
      <c r="AG24" s="2">
        <v>0</v>
      </c>
    </row>
    <row r="25" spans="1:33">
      <c r="A25">
        <v>23</v>
      </c>
      <c r="G25" s="4">
        <v>1571</v>
      </c>
      <c r="H25" s="4">
        <v>23.012695313</v>
      </c>
      <c r="I25" s="5">
        <v>23.012695313</v>
      </c>
      <c r="P25">
        <f t="shared" si="0"/>
        <v>-0.0089999999999999</v>
      </c>
      <c r="Q25">
        <v>1.671</v>
      </c>
      <c r="R25" s="6">
        <v>1.68</v>
      </c>
      <c r="S25">
        <v>1.686</v>
      </c>
      <c r="T25">
        <f t="shared" si="5"/>
        <v>0.00600000000000001</v>
      </c>
      <c r="Z25" s="2">
        <v>23</v>
      </c>
      <c r="AA25" s="1">
        <f t="shared" si="2"/>
        <v>1570.13333333333</v>
      </c>
      <c r="AB25" s="1">
        <v>0.133333333</v>
      </c>
      <c r="AC25" s="1">
        <f t="shared" si="3"/>
        <v>0.00195312499511719</v>
      </c>
      <c r="AE25" s="4">
        <v>23.012695313</v>
      </c>
      <c r="AF25" s="7">
        <f t="shared" si="6"/>
        <v>1571.00000003413</v>
      </c>
      <c r="AG25" s="2">
        <v>0</v>
      </c>
    </row>
    <row r="26" spans="1:33">
      <c r="A26">
        <v>24</v>
      </c>
      <c r="G26" s="4">
        <v>1639</v>
      </c>
      <c r="H26" s="4">
        <v>24.008789063</v>
      </c>
      <c r="I26" s="5">
        <v>24.008789063</v>
      </c>
      <c r="P26">
        <f t="shared" si="0"/>
        <v>0.00500000000000012</v>
      </c>
      <c r="Q26">
        <v>1.715</v>
      </c>
      <c r="R26" s="6">
        <v>1.71</v>
      </c>
      <c r="S26">
        <v>1.715</v>
      </c>
      <c r="T26">
        <f t="shared" si="5"/>
        <v>0.00500000000000012</v>
      </c>
      <c r="Z26" s="2">
        <v>24</v>
      </c>
      <c r="AA26" s="1">
        <f t="shared" si="2"/>
        <v>1638.4</v>
      </c>
      <c r="AB26" s="1">
        <v>0.4</v>
      </c>
      <c r="AC26" s="1">
        <f t="shared" si="3"/>
        <v>0.005859375</v>
      </c>
      <c r="AE26" s="4">
        <v>24.008789063</v>
      </c>
      <c r="AF26" s="7">
        <f t="shared" si="6"/>
        <v>1639.00000003413</v>
      </c>
      <c r="AG26" s="2">
        <v>0</v>
      </c>
    </row>
    <row r="27" spans="1:33">
      <c r="A27">
        <v>25</v>
      </c>
      <c r="G27" s="4">
        <v>1707</v>
      </c>
      <c r="H27" s="4">
        <v>25.004882813</v>
      </c>
      <c r="I27" s="5">
        <v>25.004882813</v>
      </c>
      <c r="P27">
        <f t="shared" si="0"/>
        <v>0.00500000000000012</v>
      </c>
      <c r="Q27">
        <v>1.745</v>
      </c>
      <c r="R27" s="6">
        <v>1.74</v>
      </c>
      <c r="S27" s="1">
        <v>1.76</v>
      </c>
      <c r="T27">
        <f t="shared" si="5"/>
        <v>0.02</v>
      </c>
      <c r="Z27" s="2">
        <v>25</v>
      </c>
      <c r="AA27" s="1">
        <f t="shared" si="2"/>
        <v>1706.66666666667</v>
      </c>
      <c r="AB27" s="1">
        <v>0.333333333</v>
      </c>
      <c r="AC27" s="1">
        <f t="shared" si="3"/>
        <v>0.00488281249511719</v>
      </c>
      <c r="AE27" s="4">
        <v>25.004882813</v>
      </c>
      <c r="AF27" s="7">
        <f t="shared" si="6"/>
        <v>1707.00000003413</v>
      </c>
      <c r="AG27" s="2">
        <v>0</v>
      </c>
    </row>
    <row r="28" spans="1:33">
      <c r="A28">
        <v>26</v>
      </c>
      <c r="G28" s="4">
        <v>1775</v>
      </c>
      <c r="H28" s="4">
        <v>26.000976563</v>
      </c>
      <c r="I28" s="5">
        <v>26.000976563</v>
      </c>
      <c r="P28">
        <f t="shared" si="0"/>
        <v>0.004</v>
      </c>
      <c r="Q28">
        <v>1.774</v>
      </c>
      <c r="R28" s="6">
        <v>1.77</v>
      </c>
      <c r="S28">
        <v>1.789</v>
      </c>
      <c r="T28">
        <f t="shared" si="5"/>
        <v>0.0189999999999999</v>
      </c>
      <c r="Z28" s="2">
        <v>26</v>
      </c>
      <c r="AA28" s="1">
        <f t="shared" si="2"/>
        <v>1774.93333333333</v>
      </c>
      <c r="AB28" s="1">
        <v>0.06666666666</v>
      </c>
      <c r="AC28" s="1">
        <f t="shared" si="3"/>
        <v>0.000976562499902344</v>
      </c>
      <c r="AE28" s="4">
        <v>26.000976563</v>
      </c>
      <c r="AF28" s="7">
        <f t="shared" si="6"/>
        <v>1775.00000003413</v>
      </c>
      <c r="AG28" s="2">
        <v>0</v>
      </c>
    </row>
    <row r="29" spans="1:33">
      <c r="A29">
        <v>27</v>
      </c>
      <c r="G29" s="4">
        <v>1844</v>
      </c>
      <c r="H29" s="4">
        <v>27.01171875</v>
      </c>
      <c r="I29" s="5">
        <v>27.01171875</v>
      </c>
      <c r="P29">
        <f t="shared" si="0"/>
        <v>0.004</v>
      </c>
      <c r="Q29">
        <v>1.804</v>
      </c>
      <c r="R29" s="6">
        <v>1.8</v>
      </c>
      <c r="S29">
        <v>1.819</v>
      </c>
      <c r="T29">
        <f t="shared" si="5"/>
        <v>0.0189999999999999</v>
      </c>
      <c r="Z29" s="2">
        <v>27</v>
      </c>
      <c r="AA29" s="1">
        <f t="shared" si="2"/>
        <v>1843.2</v>
      </c>
      <c r="AB29" s="1">
        <v>0.2</v>
      </c>
      <c r="AC29" s="1">
        <f t="shared" si="3"/>
        <v>0.0029296875</v>
      </c>
      <c r="AE29" s="4">
        <v>27.01171875</v>
      </c>
      <c r="AF29" s="7">
        <f t="shared" si="6"/>
        <v>1844</v>
      </c>
      <c r="AG29" s="2">
        <v>0</v>
      </c>
    </row>
    <row r="30" spans="1:33">
      <c r="A30">
        <v>28</v>
      </c>
      <c r="G30" s="4">
        <v>1912</v>
      </c>
      <c r="H30" s="4">
        <v>28.0078125</v>
      </c>
      <c r="I30" s="5">
        <v>28.0078125</v>
      </c>
      <c r="P30">
        <f t="shared" si="0"/>
        <v>0.004</v>
      </c>
      <c r="Q30">
        <v>1.834</v>
      </c>
      <c r="R30" s="6">
        <v>1.83</v>
      </c>
      <c r="S30">
        <v>1.848</v>
      </c>
      <c r="T30">
        <f t="shared" si="5"/>
        <v>0.018</v>
      </c>
      <c r="Z30" s="2">
        <v>28</v>
      </c>
      <c r="AA30" s="1">
        <f t="shared" si="2"/>
        <v>1911.46666666667</v>
      </c>
      <c r="AB30" s="1">
        <v>0.466666666</v>
      </c>
      <c r="AC30" s="1">
        <f t="shared" si="3"/>
        <v>0.00683593749023438</v>
      </c>
      <c r="AE30" s="4">
        <v>28.0078125</v>
      </c>
      <c r="AF30" s="7">
        <f t="shared" si="6"/>
        <v>1912</v>
      </c>
      <c r="AG30" s="2">
        <v>0</v>
      </c>
    </row>
    <row r="31" spans="1:33">
      <c r="A31">
        <v>29</v>
      </c>
      <c r="G31" s="4">
        <v>1980</v>
      </c>
      <c r="H31" s="4">
        <v>29.00390625</v>
      </c>
      <c r="I31" s="5">
        <v>29.00390625</v>
      </c>
      <c r="P31">
        <f t="shared" si="0"/>
        <v>0.00299999999999989</v>
      </c>
      <c r="Q31">
        <v>1.863</v>
      </c>
      <c r="R31" s="6">
        <v>1.86</v>
      </c>
      <c r="S31">
        <v>1.877</v>
      </c>
      <c r="T31">
        <f t="shared" si="5"/>
        <v>0.0169999999999999</v>
      </c>
      <c r="Z31" s="2">
        <v>29</v>
      </c>
      <c r="AA31" s="1">
        <f t="shared" si="2"/>
        <v>1979.73333333333</v>
      </c>
      <c r="AB31" s="1">
        <v>0.2666666666</v>
      </c>
      <c r="AC31" s="1">
        <f t="shared" si="3"/>
        <v>0.00390624999902344</v>
      </c>
      <c r="AE31" s="4">
        <v>29.00390625</v>
      </c>
      <c r="AF31" s="7">
        <f t="shared" si="6"/>
        <v>1980</v>
      </c>
      <c r="AG31" s="2">
        <v>0</v>
      </c>
    </row>
    <row r="32" spans="1:33">
      <c r="A32">
        <v>30</v>
      </c>
      <c r="G32" s="4">
        <v>2048</v>
      </c>
      <c r="H32" s="4">
        <v>30</v>
      </c>
      <c r="I32" s="5">
        <v>30</v>
      </c>
      <c r="P32">
        <f t="shared" si="0"/>
        <v>0.002</v>
      </c>
      <c r="Q32">
        <v>1.892</v>
      </c>
      <c r="R32" s="6">
        <v>1.89</v>
      </c>
      <c r="S32">
        <v>1.906</v>
      </c>
      <c r="T32">
        <f t="shared" si="5"/>
        <v>0.016</v>
      </c>
      <c r="Z32" s="2">
        <v>30</v>
      </c>
      <c r="AA32" s="1">
        <f t="shared" si="2"/>
        <v>2048</v>
      </c>
      <c r="AB32" s="1">
        <v>0</v>
      </c>
      <c r="AC32" s="1">
        <f t="shared" si="3"/>
        <v>0</v>
      </c>
      <c r="AE32" s="4">
        <v>30</v>
      </c>
      <c r="AF32" s="7">
        <f t="shared" si="6"/>
        <v>2048</v>
      </c>
      <c r="AG32" s="2">
        <v>0</v>
      </c>
    </row>
    <row r="33" spans="1:33">
      <c r="A33">
        <v>31</v>
      </c>
      <c r="G33" s="4">
        <v>2117</v>
      </c>
      <c r="H33" s="4">
        <v>31.010742188</v>
      </c>
      <c r="I33" s="5">
        <v>31.010742188</v>
      </c>
      <c r="P33">
        <f t="shared" si="0"/>
        <v>0.00100000000000011</v>
      </c>
      <c r="Q33">
        <v>1.921</v>
      </c>
      <c r="R33" s="6">
        <v>1.92</v>
      </c>
      <c r="S33">
        <v>1.936</v>
      </c>
      <c r="T33">
        <f t="shared" si="5"/>
        <v>0.016</v>
      </c>
      <c r="Z33" s="2">
        <v>31</v>
      </c>
      <c r="AA33" s="1">
        <f t="shared" si="2"/>
        <v>2116.26666666667</v>
      </c>
      <c r="AB33" s="1">
        <v>0.2666666666</v>
      </c>
      <c r="AC33" s="1">
        <f t="shared" si="3"/>
        <v>0.00390624999902344</v>
      </c>
      <c r="AE33" s="4">
        <v>31.010742188</v>
      </c>
      <c r="AF33" s="7">
        <f t="shared" si="6"/>
        <v>2117.00000003413</v>
      </c>
      <c r="AG33" s="2">
        <v>0</v>
      </c>
    </row>
    <row r="34" spans="1:33">
      <c r="A34">
        <v>32</v>
      </c>
      <c r="G34" s="4">
        <v>2185</v>
      </c>
      <c r="H34" s="4">
        <v>32.006835938</v>
      </c>
      <c r="I34" s="5">
        <v>32.006835938</v>
      </c>
      <c r="P34">
        <f t="shared" si="0"/>
        <v>0.00100000000000011</v>
      </c>
      <c r="Q34">
        <v>1.951</v>
      </c>
      <c r="R34" s="6">
        <v>1.95</v>
      </c>
      <c r="S34">
        <v>1.966</v>
      </c>
      <c r="T34">
        <f t="shared" si="5"/>
        <v>0.016</v>
      </c>
      <c r="Z34" s="2">
        <v>32</v>
      </c>
      <c r="AA34" s="1">
        <f t="shared" si="2"/>
        <v>2184.53333333333</v>
      </c>
      <c r="AB34" s="1">
        <v>0.466666666</v>
      </c>
      <c r="AC34" s="1">
        <f t="shared" si="3"/>
        <v>0.00683593749023438</v>
      </c>
      <c r="AE34" s="4">
        <v>32.006835938</v>
      </c>
      <c r="AF34" s="7">
        <f t="shared" si="6"/>
        <v>2185.00000003413</v>
      </c>
      <c r="AG34" s="2">
        <v>0</v>
      </c>
    </row>
    <row r="35" spans="1:33">
      <c r="A35">
        <v>33</v>
      </c>
      <c r="G35" s="4">
        <v>2253</v>
      </c>
      <c r="H35" s="4">
        <v>33.002929688</v>
      </c>
      <c r="I35" s="5">
        <v>33.002929688</v>
      </c>
      <c r="P35">
        <f t="shared" si="0"/>
        <v>0</v>
      </c>
      <c r="Q35" s="1">
        <v>1.98</v>
      </c>
      <c r="R35" s="6">
        <v>1.98</v>
      </c>
      <c r="S35">
        <v>1.995</v>
      </c>
      <c r="T35">
        <f t="shared" si="5"/>
        <v>0.0150000000000001</v>
      </c>
      <c r="Z35" s="2">
        <v>33</v>
      </c>
      <c r="AA35" s="1">
        <f t="shared" si="2"/>
        <v>2252.8</v>
      </c>
      <c r="AB35" s="1">
        <v>0.2</v>
      </c>
      <c r="AC35" s="1">
        <f t="shared" si="3"/>
        <v>0.0029296875</v>
      </c>
      <c r="AE35" s="4">
        <v>33.002929688</v>
      </c>
      <c r="AF35" s="7">
        <f t="shared" si="6"/>
        <v>2253.00000003413</v>
      </c>
      <c r="AG35" s="2">
        <v>0</v>
      </c>
    </row>
    <row r="36" spans="1:33">
      <c r="A36">
        <v>34</v>
      </c>
      <c r="G36" s="4">
        <v>2322</v>
      </c>
      <c r="H36" s="4">
        <v>34.013671875</v>
      </c>
      <c r="I36" s="5">
        <v>34.013671875</v>
      </c>
      <c r="P36">
        <f t="shared" ref="P36:P67" si="7">Q36-R36</f>
        <v>0</v>
      </c>
      <c r="Q36" s="1">
        <v>2.01</v>
      </c>
      <c r="R36" s="6">
        <v>2.01</v>
      </c>
      <c r="S36">
        <v>2.025</v>
      </c>
      <c r="T36">
        <f t="shared" si="5"/>
        <v>0.0150000000000001</v>
      </c>
      <c r="Z36" s="2">
        <v>34</v>
      </c>
      <c r="AA36" s="1">
        <f t="shared" ref="AA36:AA62" si="8">Z36*4096/60</f>
        <v>2321.06666666667</v>
      </c>
      <c r="AB36" s="1">
        <v>0.066666666666</v>
      </c>
      <c r="AC36" s="1">
        <f t="shared" ref="AC36:AC62" si="9">AB36*60/4096</f>
        <v>0.000976562499990234</v>
      </c>
      <c r="AE36" s="4">
        <v>34.013671875</v>
      </c>
      <c r="AF36" s="7">
        <f t="shared" si="6"/>
        <v>2322</v>
      </c>
      <c r="AG36" s="2">
        <v>0</v>
      </c>
    </row>
    <row r="37" spans="1:33">
      <c r="A37">
        <v>35</v>
      </c>
      <c r="G37" s="4">
        <v>2390</v>
      </c>
      <c r="H37" s="4">
        <v>35.009765625</v>
      </c>
      <c r="I37" s="5">
        <v>35.009765625</v>
      </c>
      <c r="P37">
        <f t="shared" si="7"/>
        <v>-0.00099999999999989</v>
      </c>
      <c r="Q37">
        <v>2.039</v>
      </c>
      <c r="R37" s="6">
        <v>2.04</v>
      </c>
      <c r="S37">
        <v>2.054</v>
      </c>
      <c r="T37">
        <f t="shared" si="5"/>
        <v>0.0139999999999998</v>
      </c>
      <c r="Z37" s="2">
        <v>35</v>
      </c>
      <c r="AA37" s="1">
        <f t="shared" si="8"/>
        <v>2389.33333333333</v>
      </c>
      <c r="AB37" s="1">
        <v>0.333333333</v>
      </c>
      <c r="AC37" s="1">
        <f t="shared" si="9"/>
        <v>0.00488281249511719</v>
      </c>
      <c r="AE37" s="4">
        <v>35.009765625</v>
      </c>
      <c r="AF37" s="7">
        <f t="shared" si="6"/>
        <v>2390</v>
      </c>
      <c r="AG37" s="2">
        <v>0</v>
      </c>
    </row>
    <row r="38" spans="1:33">
      <c r="A38">
        <v>36</v>
      </c>
      <c r="G38" s="4">
        <v>2458</v>
      </c>
      <c r="H38" s="4">
        <v>36.005859375</v>
      </c>
      <c r="I38" s="5">
        <v>36.005859375</v>
      </c>
      <c r="P38">
        <f t="shared" si="7"/>
        <v>-0.00099999999999989</v>
      </c>
      <c r="Q38">
        <v>2.069</v>
      </c>
      <c r="R38" s="6">
        <v>2.07</v>
      </c>
      <c r="S38">
        <v>2.084</v>
      </c>
      <c r="T38">
        <f t="shared" si="5"/>
        <v>0.0140000000000002</v>
      </c>
      <c r="Z38" s="2">
        <v>36</v>
      </c>
      <c r="AA38" s="1">
        <f t="shared" si="8"/>
        <v>2457.6</v>
      </c>
      <c r="AB38" s="1">
        <v>0.4</v>
      </c>
      <c r="AC38" s="1">
        <f t="shared" si="9"/>
        <v>0.005859375</v>
      </c>
      <c r="AE38" s="4">
        <v>36.005859375</v>
      </c>
      <c r="AF38" s="7">
        <f t="shared" si="6"/>
        <v>2458</v>
      </c>
      <c r="AG38" s="2">
        <v>0</v>
      </c>
    </row>
    <row r="39" spans="1:33">
      <c r="A39">
        <v>37</v>
      </c>
      <c r="G39" s="4">
        <v>2526</v>
      </c>
      <c r="H39" s="4">
        <v>37.001953125</v>
      </c>
      <c r="I39" s="5">
        <v>37.001953125</v>
      </c>
      <c r="P39">
        <f t="shared" si="7"/>
        <v>-2.1</v>
      </c>
      <c r="R39" s="6">
        <v>2.1</v>
      </c>
      <c r="S39">
        <v>2.113</v>
      </c>
      <c r="T39">
        <f t="shared" si="5"/>
        <v>0.0129999999999999</v>
      </c>
      <c r="Z39" s="2">
        <v>37</v>
      </c>
      <c r="AA39" s="1">
        <f t="shared" si="8"/>
        <v>2525.86666666667</v>
      </c>
      <c r="AB39" s="1">
        <v>0.133333333</v>
      </c>
      <c r="AC39" s="1">
        <f t="shared" si="9"/>
        <v>0.00195312499511719</v>
      </c>
      <c r="AE39" s="4">
        <v>37.001953125</v>
      </c>
      <c r="AF39" s="7">
        <f t="shared" si="6"/>
        <v>2526</v>
      </c>
      <c r="AG39" s="2">
        <v>0</v>
      </c>
    </row>
    <row r="40" spans="1:33">
      <c r="A40">
        <v>38</v>
      </c>
      <c r="G40" s="4">
        <v>2595</v>
      </c>
      <c r="H40" s="4">
        <v>38.012695313</v>
      </c>
      <c r="I40" s="5">
        <v>38.012695313</v>
      </c>
      <c r="P40">
        <f t="shared" si="7"/>
        <v>-2.13</v>
      </c>
      <c r="R40" s="6">
        <v>2.13</v>
      </c>
      <c r="S40">
        <v>2.142</v>
      </c>
      <c r="T40">
        <f t="shared" si="5"/>
        <v>0.012</v>
      </c>
      <c r="Z40" s="2">
        <v>38</v>
      </c>
      <c r="AA40" s="1">
        <f t="shared" si="8"/>
        <v>2594.13333333333</v>
      </c>
      <c r="AB40" s="1">
        <v>0.133333333</v>
      </c>
      <c r="AC40" s="1">
        <f t="shared" si="9"/>
        <v>0.00195312499511719</v>
      </c>
      <c r="AE40" s="4">
        <v>38.012695313</v>
      </c>
      <c r="AF40" s="7">
        <f t="shared" si="6"/>
        <v>2595.00000003413</v>
      </c>
      <c r="AG40" s="2">
        <v>0</v>
      </c>
    </row>
    <row r="41" spans="1:33">
      <c r="A41">
        <v>39</v>
      </c>
      <c r="G41" s="4">
        <v>2663</v>
      </c>
      <c r="H41" s="4">
        <v>39.008789063</v>
      </c>
      <c r="I41" s="5">
        <v>39.008789063</v>
      </c>
      <c r="P41">
        <f t="shared" si="7"/>
        <v>-2.16</v>
      </c>
      <c r="R41" s="6">
        <v>2.16</v>
      </c>
      <c r="S41">
        <v>2.172</v>
      </c>
      <c r="T41">
        <f t="shared" si="5"/>
        <v>0.012</v>
      </c>
      <c r="Z41" s="2">
        <v>39</v>
      </c>
      <c r="AA41" s="1">
        <f t="shared" si="8"/>
        <v>2662.4</v>
      </c>
      <c r="AB41" s="1">
        <v>0.4</v>
      </c>
      <c r="AC41" s="1">
        <f t="shared" si="9"/>
        <v>0.005859375</v>
      </c>
      <c r="AE41" s="4">
        <v>39.008789063</v>
      </c>
      <c r="AF41" s="7">
        <f t="shared" si="6"/>
        <v>2663.00000003413</v>
      </c>
      <c r="AG41" s="2">
        <v>0</v>
      </c>
    </row>
    <row r="42" spans="1:33">
      <c r="A42">
        <v>40</v>
      </c>
      <c r="G42" s="4">
        <v>2731</v>
      </c>
      <c r="H42" s="4">
        <v>40.004882813</v>
      </c>
      <c r="I42" s="5">
        <v>40.004882813</v>
      </c>
      <c r="P42">
        <f t="shared" si="7"/>
        <v>-2.19</v>
      </c>
      <c r="R42" s="6">
        <v>2.19</v>
      </c>
      <c r="S42">
        <v>2.201</v>
      </c>
      <c r="T42">
        <f t="shared" si="5"/>
        <v>0.0110000000000001</v>
      </c>
      <c r="Z42" s="2">
        <v>40</v>
      </c>
      <c r="AA42" s="1">
        <f t="shared" si="8"/>
        <v>2730.66666666667</v>
      </c>
      <c r="AB42" s="1">
        <v>0.333333333</v>
      </c>
      <c r="AC42" s="1">
        <f t="shared" si="9"/>
        <v>0.00488281249511719</v>
      </c>
      <c r="AE42" s="4">
        <v>40.004882813</v>
      </c>
      <c r="AF42" s="7">
        <f t="shared" si="6"/>
        <v>2731.00000003413</v>
      </c>
      <c r="AG42" s="2">
        <v>0</v>
      </c>
    </row>
    <row r="43" spans="1:33">
      <c r="A43">
        <v>41</v>
      </c>
      <c r="G43" s="4">
        <v>2799</v>
      </c>
      <c r="H43" s="4">
        <v>41.000976563</v>
      </c>
      <c r="I43" s="5">
        <v>41.000976563</v>
      </c>
      <c r="P43">
        <f t="shared" si="7"/>
        <v>-2.22</v>
      </c>
      <c r="R43" s="6">
        <v>2.22</v>
      </c>
      <c r="S43">
        <v>2.231</v>
      </c>
      <c r="T43">
        <f t="shared" si="5"/>
        <v>0.0109999999999997</v>
      </c>
      <c r="Z43" s="2">
        <v>41</v>
      </c>
      <c r="AA43" s="1">
        <f t="shared" si="8"/>
        <v>2798.93333333333</v>
      </c>
      <c r="AB43" s="1">
        <v>0.066666666666</v>
      </c>
      <c r="AC43" s="1">
        <f t="shared" si="9"/>
        <v>0.000976562499990234</v>
      </c>
      <c r="AE43" s="4">
        <v>41.000976563</v>
      </c>
      <c r="AF43" s="7">
        <f t="shared" si="6"/>
        <v>2799.00000003413</v>
      </c>
      <c r="AG43" s="2">
        <v>0</v>
      </c>
    </row>
    <row r="44" spans="1:33">
      <c r="A44">
        <v>42</v>
      </c>
      <c r="G44" s="4">
        <v>2868</v>
      </c>
      <c r="H44" s="4">
        <v>42.01171875</v>
      </c>
      <c r="I44" s="5">
        <v>42.01171875</v>
      </c>
      <c r="P44">
        <f t="shared" si="7"/>
        <v>-2.25</v>
      </c>
      <c r="R44" s="6">
        <v>2.25</v>
      </c>
      <c r="Z44" s="2">
        <v>42</v>
      </c>
      <c r="AA44" s="1">
        <f t="shared" si="8"/>
        <v>2867.2</v>
      </c>
      <c r="AB44" s="1">
        <v>0.2</v>
      </c>
      <c r="AC44" s="1">
        <f t="shared" si="9"/>
        <v>0.0029296875</v>
      </c>
      <c r="AE44" s="4">
        <v>42.01171875</v>
      </c>
      <c r="AF44" s="7">
        <f t="shared" si="6"/>
        <v>2868</v>
      </c>
      <c r="AG44" s="2">
        <v>0</v>
      </c>
    </row>
    <row r="45" spans="1:33">
      <c r="A45">
        <v>43</v>
      </c>
      <c r="G45" s="4">
        <v>2936</v>
      </c>
      <c r="H45" s="4">
        <v>43.0078125</v>
      </c>
      <c r="I45" s="5">
        <v>43.0078125</v>
      </c>
      <c r="P45">
        <f t="shared" si="7"/>
        <v>-2.28</v>
      </c>
      <c r="R45" s="6">
        <v>2.28</v>
      </c>
      <c r="Z45" s="2">
        <v>43</v>
      </c>
      <c r="AA45" s="1">
        <f t="shared" si="8"/>
        <v>2935.46666666667</v>
      </c>
      <c r="AB45" s="1">
        <v>0.466666666</v>
      </c>
      <c r="AC45" s="1">
        <f t="shared" si="9"/>
        <v>0.00683593749023438</v>
      </c>
      <c r="AE45" s="4">
        <v>43.0078125</v>
      </c>
      <c r="AF45" s="7">
        <f t="shared" si="6"/>
        <v>2936</v>
      </c>
      <c r="AG45" s="2">
        <v>0</v>
      </c>
    </row>
    <row r="46" spans="1:33">
      <c r="A46">
        <v>44</v>
      </c>
      <c r="G46" s="4">
        <v>3004</v>
      </c>
      <c r="H46" s="4">
        <v>44.00390625</v>
      </c>
      <c r="I46" s="5">
        <v>44.00390625</v>
      </c>
      <c r="P46">
        <f t="shared" si="7"/>
        <v>-2.31</v>
      </c>
      <c r="R46" s="6">
        <v>2.31</v>
      </c>
      <c r="Z46" s="2">
        <v>44</v>
      </c>
      <c r="AA46" s="1">
        <f t="shared" si="8"/>
        <v>3003.73333333333</v>
      </c>
      <c r="AB46" s="1">
        <v>0.2666666666</v>
      </c>
      <c r="AC46" s="1">
        <f t="shared" si="9"/>
        <v>0.00390624999902344</v>
      </c>
      <c r="AE46" s="4">
        <v>44.00390625</v>
      </c>
      <c r="AF46" s="7">
        <f t="shared" si="6"/>
        <v>3004</v>
      </c>
      <c r="AG46" s="2">
        <v>0</v>
      </c>
    </row>
    <row r="47" spans="1:33">
      <c r="A47">
        <v>45</v>
      </c>
      <c r="G47" s="4">
        <v>3072</v>
      </c>
      <c r="H47" s="4">
        <v>45</v>
      </c>
      <c r="I47" s="5">
        <v>45</v>
      </c>
      <c r="P47">
        <f t="shared" si="7"/>
        <v>-2.34</v>
      </c>
      <c r="R47" s="6">
        <v>2.34</v>
      </c>
      <c r="Z47" s="2">
        <v>45</v>
      </c>
      <c r="AA47" s="1">
        <f t="shared" si="8"/>
        <v>3072</v>
      </c>
      <c r="AB47" s="1">
        <v>0</v>
      </c>
      <c r="AC47" s="1">
        <f t="shared" si="9"/>
        <v>0</v>
      </c>
      <c r="AE47" s="4">
        <v>45</v>
      </c>
      <c r="AF47" s="7">
        <f t="shared" si="6"/>
        <v>3072</v>
      </c>
      <c r="AG47" s="2">
        <v>0</v>
      </c>
    </row>
    <row r="48" spans="1:33">
      <c r="A48">
        <v>46</v>
      </c>
      <c r="G48" s="4">
        <v>3141</v>
      </c>
      <c r="H48" s="4">
        <v>46.010742188</v>
      </c>
      <c r="I48" s="5">
        <v>46.010742188</v>
      </c>
      <c r="P48">
        <f t="shared" si="7"/>
        <v>-2.37</v>
      </c>
      <c r="R48" s="6">
        <v>2.37</v>
      </c>
      <c r="Z48" s="2">
        <v>46</v>
      </c>
      <c r="AA48" s="1">
        <f t="shared" si="8"/>
        <v>3140.26666666667</v>
      </c>
      <c r="AB48" s="1">
        <v>0.2666666666</v>
      </c>
      <c r="AC48" s="1">
        <f t="shared" si="9"/>
        <v>0.00390624999902344</v>
      </c>
      <c r="AE48" s="4">
        <v>46.010742188</v>
      </c>
      <c r="AF48" s="7">
        <f t="shared" si="6"/>
        <v>3141.00000003413</v>
      </c>
      <c r="AG48" s="2">
        <v>0</v>
      </c>
    </row>
    <row r="49" spans="1:33">
      <c r="A49">
        <v>47</v>
      </c>
      <c r="G49" s="4">
        <v>3209</v>
      </c>
      <c r="H49" s="4">
        <v>47.006835938</v>
      </c>
      <c r="I49" s="5">
        <v>47.006835938</v>
      </c>
      <c r="P49">
        <f t="shared" si="7"/>
        <v>-2.4</v>
      </c>
      <c r="R49" s="6">
        <v>2.4</v>
      </c>
      <c r="Z49" s="2">
        <v>47</v>
      </c>
      <c r="AA49" s="1">
        <f t="shared" si="8"/>
        <v>3208.53333333333</v>
      </c>
      <c r="AB49" s="1">
        <v>0.466666666</v>
      </c>
      <c r="AC49" s="1">
        <f t="shared" si="9"/>
        <v>0.00683593749023438</v>
      </c>
      <c r="AE49" s="4">
        <v>47.006835938</v>
      </c>
      <c r="AF49" s="7">
        <f t="shared" si="6"/>
        <v>3209.00000003413</v>
      </c>
      <c r="AG49" s="2">
        <v>0</v>
      </c>
    </row>
    <row r="50" spans="1:33">
      <c r="A50">
        <v>48</v>
      </c>
      <c r="G50" s="4">
        <v>3277</v>
      </c>
      <c r="H50" s="4">
        <v>48.002929688</v>
      </c>
      <c r="I50" s="5">
        <v>48.002929688</v>
      </c>
      <c r="P50">
        <f t="shared" si="7"/>
        <v>-2.43</v>
      </c>
      <c r="R50" s="6">
        <v>2.43</v>
      </c>
      <c r="Z50" s="2">
        <v>48</v>
      </c>
      <c r="AA50" s="1">
        <f t="shared" si="8"/>
        <v>3276.8</v>
      </c>
      <c r="AB50" s="1">
        <v>0.2</v>
      </c>
      <c r="AC50" s="1">
        <f t="shared" si="9"/>
        <v>0.0029296875</v>
      </c>
      <c r="AE50" s="4">
        <v>48.002929688</v>
      </c>
      <c r="AF50" s="7">
        <f t="shared" si="6"/>
        <v>3277.00000003413</v>
      </c>
      <c r="AG50" s="2">
        <v>0</v>
      </c>
    </row>
    <row r="51" spans="1:33">
      <c r="A51">
        <v>49</v>
      </c>
      <c r="G51" s="4">
        <v>3346</v>
      </c>
      <c r="H51" s="4">
        <v>49.013671875</v>
      </c>
      <c r="I51" s="5">
        <v>49.013671875</v>
      </c>
      <c r="P51">
        <f t="shared" si="7"/>
        <v>-2.46</v>
      </c>
      <c r="R51" s="6">
        <v>2.46</v>
      </c>
      <c r="Z51" s="2">
        <v>49</v>
      </c>
      <c r="AA51" s="1">
        <f t="shared" si="8"/>
        <v>3345.06666666667</v>
      </c>
      <c r="AB51" s="1">
        <v>0.066666666666</v>
      </c>
      <c r="AC51" s="1">
        <f t="shared" si="9"/>
        <v>0.000976562499990234</v>
      </c>
      <c r="AE51" s="4">
        <v>49.013671875</v>
      </c>
      <c r="AF51" s="7">
        <f t="shared" si="6"/>
        <v>3346</v>
      </c>
      <c r="AG51" s="2">
        <v>0</v>
      </c>
    </row>
    <row r="52" spans="1:33">
      <c r="A52">
        <v>50</v>
      </c>
      <c r="G52" s="4">
        <v>3414</v>
      </c>
      <c r="H52" s="4">
        <v>50.009765625</v>
      </c>
      <c r="I52" s="5">
        <v>50.009765625</v>
      </c>
      <c r="P52">
        <f t="shared" si="7"/>
        <v>-2.49</v>
      </c>
      <c r="R52" s="6">
        <v>2.49</v>
      </c>
      <c r="Z52" s="2">
        <v>50</v>
      </c>
      <c r="AA52" s="1">
        <f t="shared" si="8"/>
        <v>3413.33333333333</v>
      </c>
      <c r="AB52" s="1">
        <v>0.333333333</v>
      </c>
      <c r="AC52" s="1">
        <f t="shared" si="9"/>
        <v>0.00488281249511719</v>
      </c>
      <c r="AE52" s="4">
        <v>50.009765625</v>
      </c>
      <c r="AF52" s="7">
        <f t="shared" si="6"/>
        <v>3414</v>
      </c>
      <c r="AG52" s="2">
        <v>0</v>
      </c>
    </row>
    <row r="53" spans="1:33">
      <c r="A53">
        <v>51</v>
      </c>
      <c r="G53" s="4">
        <v>3482</v>
      </c>
      <c r="H53" s="4">
        <v>51.005859375</v>
      </c>
      <c r="I53" s="5">
        <v>51.005859375</v>
      </c>
      <c r="P53">
        <f t="shared" si="7"/>
        <v>-2.52</v>
      </c>
      <c r="R53" s="6">
        <v>2.52</v>
      </c>
      <c r="Z53" s="2">
        <v>51</v>
      </c>
      <c r="AA53" s="1">
        <f t="shared" si="8"/>
        <v>3481.6</v>
      </c>
      <c r="AB53" s="1">
        <v>0.4</v>
      </c>
      <c r="AC53" s="1">
        <f t="shared" si="9"/>
        <v>0.005859375</v>
      </c>
      <c r="AE53" s="4">
        <v>51.005859375</v>
      </c>
      <c r="AF53" s="7">
        <f t="shared" si="6"/>
        <v>3482</v>
      </c>
      <c r="AG53" s="2">
        <v>0</v>
      </c>
    </row>
    <row r="54" spans="1:33">
      <c r="A54">
        <v>52</v>
      </c>
      <c r="G54" s="4">
        <v>3550</v>
      </c>
      <c r="H54" s="4">
        <v>52.001953125</v>
      </c>
      <c r="I54" s="5">
        <v>52.001953125</v>
      </c>
      <c r="P54">
        <f t="shared" si="7"/>
        <v>-2.55</v>
      </c>
      <c r="R54" s="6">
        <v>2.55</v>
      </c>
      <c r="Z54" s="2">
        <v>52</v>
      </c>
      <c r="AA54" s="1">
        <f t="shared" si="8"/>
        <v>3549.86666666667</v>
      </c>
      <c r="AB54" s="1">
        <v>0.133333333</v>
      </c>
      <c r="AC54" s="1">
        <f t="shared" si="9"/>
        <v>0.00195312499511719</v>
      </c>
      <c r="AE54" s="4">
        <v>52.001953125</v>
      </c>
      <c r="AF54" s="7">
        <f t="shared" si="6"/>
        <v>3550</v>
      </c>
      <c r="AG54" s="2">
        <v>0</v>
      </c>
    </row>
    <row r="55" spans="1:33">
      <c r="A55">
        <v>53</v>
      </c>
      <c r="G55" s="4">
        <v>3619</v>
      </c>
      <c r="H55" s="4">
        <v>53.012695313</v>
      </c>
      <c r="I55" s="5">
        <v>53.012695313</v>
      </c>
      <c r="P55">
        <f t="shared" si="7"/>
        <v>-2.58</v>
      </c>
      <c r="R55" s="6">
        <v>2.58</v>
      </c>
      <c r="Z55" s="2">
        <v>53</v>
      </c>
      <c r="AA55" s="1">
        <f t="shared" si="8"/>
        <v>3618.13333333333</v>
      </c>
      <c r="AB55" s="1">
        <v>0.133333333</v>
      </c>
      <c r="AC55" s="1">
        <f t="shared" si="9"/>
        <v>0.00195312499511719</v>
      </c>
      <c r="AE55" s="4">
        <v>53.012695313</v>
      </c>
      <c r="AF55" s="7">
        <f t="shared" si="6"/>
        <v>3619.00000003413</v>
      </c>
      <c r="AG55" s="2">
        <v>0</v>
      </c>
    </row>
    <row r="56" spans="1:33">
      <c r="A56">
        <v>54</v>
      </c>
      <c r="G56" s="4">
        <v>3687</v>
      </c>
      <c r="H56" s="4">
        <v>54.008789063</v>
      </c>
      <c r="I56" s="5">
        <v>54.008789063</v>
      </c>
      <c r="P56">
        <f t="shared" si="7"/>
        <v>-2.61</v>
      </c>
      <c r="R56" s="6">
        <v>2.61</v>
      </c>
      <c r="Z56" s="2">
        <v>54</v>
      </c>
      <c r="AA56" s="1">
        <f t="shared" si="8"/>
        <v>3686.4</v>
      </c>
      <c r="AB56" s="1">
        <v>0.4</v>
      </c>
      <c r="AC56" s="1">
        <f t="shared" si="9"/>
        <v>0.005859375</v>
      </c>
      <c r="AE56" s="4">
        <v>54.008789063</v>
      </c>
      <c r="AF56" s="7">
        <f t="shared" si="6"/>
        <v>3687.00000003413</v>
      </c>
      <c r="AG56" s="2">
        <v>0</v>
      </c>
    </row>
    <row r="57" spans="1:33">
      <c r="A57">
        <v>55</v>
      </c>
      <c r="G57" s="4">
        <v>3755</v>
      </c>
      <c r="H57" s="4">
        <v>55.004882813</v>
      </c>
      <c r="I57" s="5">
        <v>55.004882813</v>
      </c>
      <c r="P57">
        <f t="shared" si="7"/>
        <v>-2.64</v>
      </c>
      <c r="R57" s="6">
        <v>2.64</v>
      </c>
      <c r="Z57" s="2">
        <v>55</v>
      </c>
      <c r="AA57" s="1">
        <f t="shared" si="8"/>
        <v>3754.66666666667</v>
      </c>
      <c r="AB57" s="1">
        <v>0.333333333</v>
      </c>
      <c r="AC57" s="1">
        <f t="shared" si="9"/>
        <v>0.00488281249511719</v>
      </c>
      <c r="AE57" s="4">
        <v>55.004882813</v>
      </c>
      <c r="AF57" s="7">
        <f t="shared" si="6"/>
        <v>3755.00000003413</v>
      </c>
      <c r="AG57" s="2">
        <v>0</v>
      </c>
    </row>
    <row r="58" spans="1:33">
      <c r="A58">
        <v>56</v>
      </c>
      <c r="G58" s="4">
        <v>3823</v>
      </c>
      <c r="H58" s="4">
        <v>56.000976563</v>
      </c>
      <c r="I58" s="5">
        <v>56.000976563</v>
      </c>
      <c r="P58">
        <f t="shared" si="7"/>
        <v>-2.67</v>
      </c>
      <c r="R58" s="6">
        <v>2.67</v>
      </c>
      <c r="Z58" s="2">
        <v>56</v>
      </c>
      <c r="AA58" s="1">
        <f t="shared" si="8"/>
        <v>3822.93333333333</v>
      </c>
      <c r="AB58" s="1">
        <v>0.066666666666</v>
      </c>
      <c r="AC58" s="1">
        <f t="shared" si="9"/>
        <v>0.000976562499990234</v>
      </c>
      <c r="AE58" s="4">
        <v>56.000976563</v>
      </c>
      <c r="AF58" s="7">
        <f t="shared" si="6"/>
        <v>3823.00000003413</v>
      </c>
      <c r="AG58" s="2">
        <v>0</v>
      </c>
    </row>
    <row r="59" spans="1:33">
      <c r="A59">
        <v>57</v>
      </c>
      <c r="G59" s="4">
        <v>3892</v>
      </c>
      <c r="H59" s="4">
        <v>57.01171875</v>
      </c>
      <c r="I59" s="5">
        <v>57.01171875</v>
      </c>
      <c r="P59">
        <f t="shared" si="7"/>
        <v>-2.7</v>
      </c>
      <c r="R59" s="6">
        <v>2.7</v>
      </c>
      <c r="Z59" s="2">
        <v>57</v>
      </c>
      <c r="AA59" s="1">
        <f t="shared" si="8"/>
        <v>3891.2</v>
      </c>
      <c r="AB59" s="1">
        <v>0.2</v>
      </c>
      <c r="AC59" s="1">
        <f t="shared" si="9"/>
        <v>0.0029296875</v>
      </c>
      <c r="AE59" s="4">
        <v>57.01171875</v>
      </c>
      <c r="AF59" s="7">
        <f t="shared" si="6"/>
        <v>3892</v>
      </c>
      <c r="AG59" s="2">
        <v>0</v>
      </c>
    </row>
    <row r="60" spans="1:33">
      <c r="A60">
        <v>58</v>
      </c>
      <c r="G60" s="4">
        <v>3960</v>
      </c>
      <c r="H60" s="4">
        <v>58.0078125</v>
      </c>
      <c r="I60" s="5">
        <v>58.0078125</v>
      </c>
      <c r="P60">
        <f t="shared" si="7"/>
        <v>-2.73</v>
      </c>
      <c r="R60" s="6">
        <v>2.73</v>
      </c>
      <c r="Z60" s="2">
        <v>58</v>
      </c>
      <c r="AA60" s="1">
        <f t="shared" si="8"/>
        <v>3959.46666666667</v>
      </c>
      <c r="AB60" s="1">
        <v>0.466666666</v>
      </c>
      <c r="AC60" s="1">
        <f t="shared" si="9"/>
        <v>0.00683593749023438</v>
      </c>
      <c r="AE60" s="4">
        <v>58.0078125</v>
      </c>
      <c r="AF60" s="7">
        <f t="shared" si="6"/>
        <v>3960</v>
      </c>
      <c r="AG60" s="2">
        <v>0</v>
      </c>
    </row>
    <row r="61" spans="1:33">
      <c r="G61" s="4">
        <v>4028</v>
      </c>
      <c r="H61" s="4">
        <v>59.00390625</v>
      </c>
      <c r="I61" s="5">
        <v>59.00390625</v>
      </c>
      <c r="P61">
        <f t="shared" si="7"/>
        <v>-2.76</v>
      </c>
      <c r="R61" s="6">
        <v>2.76</v>
      </c>
      <c r="Z61" s="2">
        <v>59</v>
      </c>
      <c r="AA61" s="1">
        <f t="shared" si="8"/>
        <v>4027.73333333333</v>
      </c>
      <c r="AB61" s="1">
        <v>0.2666666666</v>
      </c>
      <c r="AC61" s="1">
        <f t="shared" si="9"/>
        <v>0.00390624999902344</v>
      </c>
      <c r="AE61" s="4">
        <v>59.00390625</v>
      </c>
      <c r="AF61" s="7">
        <f t="shared" si="6"/>
        <v>4028</v>
      </c>
      <c r="AG61" s="2">
        <v>0</v>
      </c>
    </row>
    <row r="62" spans="1:33">
      <c r="G62" s="4">
        <v>4096</v>
      </c>
      <c r="H62" s="4">
        <v>60</v>
      </c>
      <c r="I62" s="5">
        <v>60</v>
      </c>
      <c r="P62">
        <f t="shared" si="7"/>
        <v>-2.79</v>
      </c>
      <c r="R62" s="6">
        <v>2.79</v>
      </c>
      <c r="Z62" s="2">
        <v>60</v>
      </c>
      <c r="AA62" s="1">
        <f t="shared" si="8"/>
        <v>4096</v>
      </c>
      <c r="AB62" s="1">
        <v>0</v>
      </c>
      <c r="AC62" s="1">
        <f t="shared" si="9"/>
        <v>0</v>
      </c>
      <c r="AE62" s="4">
        <v>60</v>
      </c>
      <c r="AF62" s="7">
        <f t="shared" si="6"/>
        <v>4096</v>
      </c>
      <c r="AG62" s="2">
        <v>0</v>
      </c>
    </row>
    <row r="63" spans="1:33">
      <c r="P63">
        <f t="shared" si="7"/>
        <v>-2.82</v>
      </c>
      <c r="R63" s="6">
        <v>2.82</v>
      </c>
    </row>
    <row r="64" spans="1:33">
      <c r="P64">
        <f t="shared" si="7"/>
        <v>-2.85</v>
      </c>
      <c r="R64" s="6">
        <v>2.85</v>
      </c>
    </row>
    <row r="65" spans="16:18">
      <c r="P65">
        <f t="shared" si="7"/>
        <v>-2.88</v>
      </c>
      <c r="R65" s="6">
        <v>2.88</v>
      </c>
    </row>
    <row r="66" spans="16:18">
      <c r="P66">
        <f t="shared" si="7"/>
        <v>-2.91</v>
      </c>
      <c r="R66" s="6">
        <v>2.91</v>
      </c>
    </row>
    <row r="67" spans="16:18">
      <c r="P67">
        <f t="shared" si="7"/>
        <v>-2.94</v>
      </c>
      <c r="R67" s="6">
        <v>2.94</v>
      </c>
    </row>
    <row r="68" spans="16:18">
      <c r="P68">
        <f t="shared" ref="P68:P99" si="10">Q68-R68</f>
        <v>-2.97</v>
      </c>
      <c r="R68" s="6">
        <v>2.97</v>
      </c>
    </row>
    <row r="69" spans="16:18">
      <c r="P69">
        <f t="shared" si="10"/>
        <v>-3</v>
      </c>
      <c r="R69" s="6">
        <v>3</v>
      </c>
    </row>
    <row r="70" spans="16:18">
      <c r="P70">
        <f t="shared" si="10"/>
        <v>-3.02999999999999</v>
      </c>
      <c r="R70" s="6">
        <v>3.02999999999999</v>
      </c>
    </row>
    <row r="71" spans="16:18">
      <c r="P71">
        <f t="shared" si="10"/>
        <v>-3.05999999999999</v>
      </c>
      <c r="R71" s="6">
        <v>3.05999999999999</v>
      </c>
    </row>
    <row r="72" spans="16:18">
      <c r="P72">
        <f t="shared" si="10"/>
        <v>-3.08999999999999</v>
      </c>
      <c r="R72" s="6">
        <v>3.08999999999999</v>
      </c>
    </row>
    <row r="73" spans="16:18">
      <c r="P73">
        <f t="shared" si="10"/>
        <v>-3.11999999999999</v>
      </c>
      <c r="R73" s="6">
        <v>3.11999999999999</v>
      </c>
    </row>
    <row r="74" spans="16:18">
      <c r="P74">
        <f t="shared" si="10"/>
        <v>-3.14999999999999</v>
      </c>
      <c r="R74" s="6">
        <v>3.14999999999999</v>
      </c>
    </row>
    <row r="75" spans="16:18">
      <c r="P75">
        <f t="shared" si="10"/>
        <v>-3.17999999999999</v>
      </c>
      <c r="R75" s="6">
        <v>3.17999999999999</v>
      </c>
    </row>
    <row r="76" spans="16:18">
      <c r="P76">
        <f t="shared" si="10"/>
        <v>-3.20999999999999</v>
      </c>
      <c r="R76" s="6">
        <v>3.20999999999999</v>
      </c>
    </row>
    <row r="77" spans="16:18">
      <c r="P77">
        <f t="shared" si="10"/>
        <v>-3.23999999999999</v>
      </c>
      <c r="R77" s="6">
        <v>3.23999999999999</v>
      </c>
    </row>
    <row r="78" spans="16:18">
      <c r="P78">
        <f t="shared" si="10"/>
        <v>-3.26999999999999</v>
      </c>
      <c r="R78" s="6">
        <v>3.26999999999999</v>
      </c>
    </row>
    <row r="79" spans="16:18">
      <c r="P79">
        <f t="shared" si="10"/>
        <v>-3.29999999999999</v>
      </c>
      <c r="R79" s="6">
        <v>3.29999999999999</v>
      </c>
    </row>
    <row r="80" spans="16:18">
      <c r="P80">
        <f t="shared" si="10"/>
        <v>-3.32999999999999</v>
      </c>
      <c r="R80" s="6">
        <v>3.32999999999999</v>
      </c>
    </row>
    <row r="81" spans="16:18">
      <c r="P81">
        <f t="shared" si="10"/>
        <v>-3.35999999999999</v>
      </c>
      <c r="R81" s="6">
        <v>3.35999999999999</v>
      </c>
    </row>
    <row r="82" spans="16:18">
      <c r="P82">
        <f t="shared" si="10"/>
        <v>-3.38999999999999</v>
      </c>
      <c r="R82" s="6">
        <v>3.38999999999999</v>
      </c>
    </row>
    <row r="83" spans="16:18">
      <c r="P83">
        <f t="shared" si="10"/>
        <v>-3.41999999999999</v>
      </c>
      <c r="R83" s="6">
        <v>3.41999999999999</v>
      </c>
    </row>
    <row r="84" spans="16:18">
      <c r="P84">
        <f t="shared" si="10"/>
        <v>-3.44999999999999</v>
      </c>
      <c r="R84" s="6">
        <v>3.44999999999999</v>
      </c>
    </row>
    <row r="85" spans="16:18">
      <c r="P85">
        <f t="shared" si="10"/>
        <v>-3.47999999999999</v>
      </c>
      <c r="R85" s="6">
        <v>3.47999999999999</v>
      </c>
    </row>
    <row r="86" spans="16:18">
      <c r="P86">
        <f t="shared" si="10"/>
        <v>-3.50999999999999</v>
      </c>
      <c r="R86" s="6">
        <v>3.50999999999999</v>
      </c>
    </row>
    <row r="87" spans="16:18">
      <c r="P87">
        <f t="shared" si="10"/>
        <v>-3.53999999999999</v>
      </c>
      <c r="R87" s="6">
        <v>3.53999999999999</v>
      </c>
    </row>
    <row r="88" spans="16:18">
      <c r="P88">
        <f t="shared" si="10"/>
        <v>-3.56999999999999</v>
      </c>
      <c r="R88" s="6">
        <v>3.56999999999999</v>
      </c>
    </row>
    <row r="89" spans="16:18">
      <c r="P89">
        <f t="shared" si="10"/>
        <v>-3.59999999999999</v>
      </c>
      <c r="R89" s="6">
        <v>3.59999999999999</v>
      </c>
    </row>
    <row r="90" spans="16:18">
      <c r="P90">
        <f t="shared" si="10"/>
        <v>-3.62999999999999</v>
      </c>
      <c r="R90" s="6">
        <v>3.62999999999999</v>
      </c>
    </row>
    <row r="91" spans="16:18">
      <c r="P91">
        <f t="shared" si="10"/>
        <v>-3.65999999999999</v>
      </c>
      <c r="R91" s="6">
        <v>3.65999999999999</v>
      </c>
    </row>
    <row r="92" spans="16:18">
      <c r="P92">
        <f t="shared" si="10"/>
        <v>-3.68999999999999</v>
      </c>
      <c r="R92" s="6">
        <v>3.68999999999999</v>
      </c>
    </row>
    <row r="93" spans="16:18">
      <c r="P93">
        <f t="shared" si="10"/>
        <v>-3.71999999999999</v>
      </c>
      <c r="R93" s="6">
        <v>3.71999999999999</v>
      </c>
    </row>
    <row r="94" spans="16:18">
      <c r="P94">
        <f t="shared" si="10"/>
        <v>-3.74999999999999</v>
      </c>
      <c r="R94" s="6">
        <v>3.74999999999999</v>
      </c>
    </row>
    <row r="95" spans="16:18">
      <c r="P95">
        <f t="shared" si="10"/>
        <v>-3.77999999999999</v>
      </c>
      <c r="R95" s="6">
        <v>3.77999999999999</v>
      </c>
    </row>
    <row r="96" spans="16:18">
      <c r="P96">
        <f t="shared" si="10"/>
        <v>-3.80999999999999</v>
      </c>
      <c r="R96" s="6">
        <v>3.80999999999999</v>
      </c>
    </row>
    <row r="97" spans="16:18">
      <c r="P97">
        <f t="shared" si="10"/>
        <v>-3.83999999999999</v>
      </c>
      <c r="R97" s="6">
        <v>3.83999999999999</v>
      </c>
    </row>
    <row r="98" spans="16:18">
      <c r="P98">
        <f t="shared" si="10"/>
        <v>-3.86999999999999</v>
      </c>
      <c r="R98" s="6">
        <v>3.86999999999999</v>
      </c>
    </row>
    <row r="99" spans="16:18">
      <c r="P99">
        <f t="shared" si="10"/>
        <v>-3.89999999999999</v>
      </c>
      <c r="R99" s="6">
        <v>3.89999999999999</v>
      </c>
    </row>
    <row r="100" spans="16:18">
      <c r="P100">
        <f t="shared" ref="P100:P135" si="11">Q100-R100</f>
        <v>-3.92999999999999</v>
      </c>
      <c r="R100" s="6">
        <v>3.92999999999999</v>
      </c>
    </row>
    <row r="101" spans="16:18">
      <c r="P101">
        <f t="shared" si="11"/>
        <v>-3.95999999999999</v>
      </c>
      <c r="R101" s="6">
        <v>3.95999999999999</v>
      </c>
    </row>
    <row r="102" spans="16:18">
      <c r="P102">
        <f t="shared" si="11"/>
        <v>-3.98999999999999</v>
      </c>
      <c r="R102" s="6">
        <v>3.98999999999999</v>
      </c>
    </row>
    <row r="103" spans="16:18">
      <c r="P103">
        <f t="shared" si="11"/>
        <v>-4.01999999999999</v>
      </c>
      <c r="R103" s="6">
        <v>4.01999999999999</v>
      </c>
    </row>
    <row r="104" spans="16:18">
      <c r="P104">
        <f t="shared" si="11"/>
        <v>-4.04999999999999</v>
      </c>
      <c r="R104" s="6">
        <v>4.04999999999999</v>
      </c>
    </row>
    <row r="105" spans="16:18">
      <c r="P105">
        <f t="shared" si="11"/>
        <v>-4.07999999999999</v>
      </c>
      <c r="R105" s="6">
        <v>4.07999999999999</v>
      </c>
    </row>
    <row r="106" spans="16:18">
      <c r="P106">
        <f t="shared" si="11"/>
        <v>-4.10999999999999</v>
      </c>
      <c r="R106" s="6">
        <v>4.10999999999999</v>
      </c>
    </row>
    <row r="107" spans="16:18">
      <c r="P107">
        <f t="shared" si="11"/>
        <v>-4.13999999999999</v>
      </c>
      <c r="R107" s="6">
        <v>4.13999999999999</v>
      </c>
    </row>
    <row r="108" spans="16:18">
      <c r="P108">
        <f t="shared" si="11"/>
        <v>-4.16999999999999</v>
      </c>
      <c r="R108" s="6">
        <v>4.16999999999999</v>
      </c>
    </row>
    <row r="109" spans="16:18">
      <c r="P109">
        <f t="shared" si="11"/>
        <v>-4.19999999999999</v>
      </c>
      <c r="R109" s="6">
        <v>4.19999999999999</v>
      </c>
    </row>
    <row r="110" spans="16:18">
      <c r="P110">
        <f t="shared" si="11"/>
        <v>-4.22999999999999</v>
      </c>
      <c r="R110" s="6">
        <v>4.22999999999999</v>
      </c>
    </row>
    <row r="111" spans="16:18">
      <c r="P111">
        <f t="shared" si="11"/>
        <v>-4.25999999999999</v>
      </c>
      <c r="R111" s="6">
        <v>4.25999999999999</v>
      </c>
    </row>
    <row r="112" spans="16:18">
      <c r="P112">
        <f t="shared" si="11"/>
        <v>-4.28999999999999</v>
      </c>
      <c r="R112" s="6">
        <v>4.28999999999999</v>
      </c>
    </row>
    <row r="113" spans="16:18">
      <c r="P113">
        <f t="shared" si="11"/>
        <v>-4.31999999999999</v>
      </c>
      <c r="R113" s="6">
        <v>4.31999999999999</v>
      </c>
    </row>
    <row r="114" spans="16:18">
      <c r="P114">
        <f t="shared" si="11"/>
        <v>-4.34999999999999</v>
      </c>
      <c r="R114" s="6">
        <v>4.34999999999999</v>
      </c>
    </row>
    <row r="115" spans="16:18">
      <c r="P115">
        <f t="shared" si="11"/>
        <v>-4.37999999999999</v>
      </c>
      <c r="R115" s="6">
        <v>4.37999999999999</v>
      </c>
    </row>
    <row r="116" spans="16:18">
      <c r="P116">
        <f t="shared" si="11"/>
        <v>-4.40999999999999</v>
      </c>
      <c r="R116" s="6">
        <v>4.40999999999999</v>
      </c>
    </row>
    <row r="117" spans="16:18">
      <c r="P117">
        <f t="shared" si="11"/>
        <v>-4.43999999999999</v>
      </c>
      <c r="R117" s="6">
        <v>4.43999999999999</v>
      </c>
    </row>
    <row r="118" spans="16:18">
      <c r="P118">
        <f t="shared" si="11"/>
        <v>-4.46999999999999</v>
      </c>
      <c r="R118" s="6">
        <v>4.46999999999999</v>
      </c>
    </row>
    <row r="119" spans="16:18">
      <c r="P119">
        <f t="shared" si="11"/>
        <v>-4.49999999999999</v>
      </c>
      <c r="R119" s="6">
        <v>4.49999999999999</v>
      </c>
    </row>
    <row r="120" spans="16:18">
      <c r="P120">
        <f t="shared" si="11"/>
        <v>-4.52999999999999</v>
      </c>
      <c r="R120" s="6">
        <v>4.52999999999999</v>
      </c>
    </row>
    <row r="121" spans="16:18">
      <c r="P121">
        <f t="shared" si="11"/>
        <v>-4.55999999999999</v>
      </c>
      <c r="R121" s="6">
        <v>4.55999999999999</v>
      </c>
    </row>
    <row r="122" spans="16:18">
      <c r="P122">
        <f t="shared" si="11"/>
        <v>-4.58999999999999</v>
      </c>
      <c r="R122" s="6">
        <v>4.58999999999999</v>
      </c>
    </row>
    <row r="123" spans="16:18">
      <c r="P123">
        <f t="shared" si="11"/>
        <v>-4.61999999999999</v>
      </c>
      <c r="R123" s="6">
        <v>4.61999999999999</v>
      </c>
    </row>
    <row r="124" spans="16:18">
      <c r="P124">
        <f t="shared" si="11"/>
        <v>-4.64999999999999</v>
      </c>
      <c r="R124" s="6">
        <v>4.64999999999999</v>
      </c>
    </row>
    <row r="125" spans="16:18">
      <c r="P125">
        <f t="shared" si="11"/>
        <v>-4.67999999999999</v>
      </c>
      <c r="R125" s="6">
        <v>4.67999999999999</v>
      </c>
    </row>
    <row r="126" spans="16:18">
      <c r="P126">
        <f t="shared" si="11"/>
        <v>-4.70999999999999</v>
      </c>
      <c r="R126" s="6">
        <v>4.70999999999999</v>
      </c>
    </row>
    <row r="127" spans="16:18">
      <c r="P127">
        <f t="shared" si="11"/>
        <v>-4.73999999999999</v>
      </c>
      <c r="R127" s="6">
        <v>4.73999999999999</v>
      </c>
    </row>
    <row r="128" spans="16:18">
      <c r="P128">
        <f t="shared" si="11"/>
        <v>-4.77</v>
      </c>
      <c r="R128" s="6">
        <v>4.77</v>
      </c>
    </row>
    <row r="129" spans="16:18">
      <c r="P129">
        <f t="shared" si="11"/>
        <v>-4.8</v>
      </c>
      <c r="R129" s="6">
        <v>4.8</v>
      </c>
    </row>
    <row r="130" spans="16:18">
      <c r="P130">
        <f t="shared" si="11"/>
        <v>-4.83</v>
      </c>
      <c r="R130" s="6">
        <v>4.83</v>
      </c>
    </row>
    <row r="131" spans="16:18">
      <c r="P131">
        <f t="shared" si="11"/>
        <v>-4.86</v>
      </c>
      <c r="R131" s="6">
        <v>4.86</v>
      </c>
    </row>
    <row r="132" spans="16:18">
      <c r="P132">
        <f t="shared" si="11"/>
        <v>-4.89</v>
      </c>
      <c r="R132" s="6">
        <v>4.89</v>
      </c>
    </row>
    <row r="133" spans="16:18">
      <c r="P133">
        <f t="shared" si="11"/>
        <v>-4.92</v>
      </c>
      <c r="R133" s="6">
        <v>4.92</v>
      </c>
    </row>
    <row r="134" spans="16:18">
      <c r="P134">
        <f t="shared" si="11"/>
        <v>-4.95</v>
      </c>
      <c r="R134" s="6">
        <v>4.95</v>
      </c>
    </row>
    <row r="135" spans="16:18">
      <c r="P135">
        <f t="shared" si="11"/>
        <v>-4.98</v>
      </c>
      <c r="R135" s="6">
        <v>4.98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焕爷</cp:lastModifiedBy>
  <dcterms:created xsi:type="dcterms:W3CDTF">2023-05-12T11:15:00Z</dcterms:created>
  <dcterms:modified xsi:type="dcterms:W3CDTF">2026-07-03T11:36:18Z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CalculationRule">
    <vt:i4>0</vt:i4>
  </property>
  <property fmtid="{D5CDD505-2E9C-101B-9397-08002B2CF9AE}" pid="4" name="ICV">
    <vt:lpwstr>B1C57E357FE54A52A75C2F93DF05483F_12</vt:lpwstr>
  </property>
</Properties>
</file>